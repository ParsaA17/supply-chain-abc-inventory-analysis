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ASRA\Desktop\"/>
    </mc:Choice>
  </mc:AlternateContent>
  <xr:revisionPtr revIDLastSave="0" documentId="13_ncr:1_{E58C4BFF-5F76-48AD-8763-24F019FD55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ory_AB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3" i="1"/>
  <c r="N4" i="1"/>
  <c r="N2" i="1"/>
  <c r="M5" i="1"/>
  <c r="M2" i="1"/>
  <c r="M3" i="1"/>
  <c r="M4" i="1"/>
  <c r="L5" i="1"/>
  <c r="L3" i="1"/>
  <c r="L4" i="1"/>
  <c r="L2" i="1"/>
  <c r="K5" i="1"/>
  <c r="K3" i="1"/>
  <c r="K4" i="1"/>
  <c r="K2" i="1"/>
  <c r="H3" i="1"/>
  <c r="H4" i="1"/>
  <c r="H5" i="1"/>
  <c r="H6" i="1"/>
  <c r="H7" i="1"/>
  <c r="H8" i="1"/>
  <c r="H9" i="1"/>
  <c r="H10" i="1"/>
  <c r="H11" i="1"/>
  <c r="H2" i="1"/>
  <c r="G2" i="1"/>
  <c r="G3" i="1"/>
  <c r="G4" i="1"/>
  <c r="G5" i="1"/>
  <c r="G6" i="1"/>
  <c r="G7" i="1"/>
  <c r="G8" i="1"/>
  <c r="G9" i="1"/>
  <c r="G10" i="1"/>
  <c r="G11" i="1"/>
  <c r="F4" i="1"/>
  <c r="F5" i="1"/>
  <c r="F6" i="1" s="1"/>
  <c r="F7" i="1" s="1"/>
  <c r="F8" i="1" s="1"/>
  <c r="F9" i="1" s="1"/>
  <c r="F10" i="1" s="1"/>
  <c r="F11" i="1" s="1"/>
  <c r="F3" i="1"/>
  <c r="F2" i="1"/>
  <c r="E12" i="1"/>
  <c r="E3" i="1"/>
  <c r="E7" i="1"/>
  <c r="E6" i="1"/>
  <c r="E4" i="1"/>
  <c r="E8" i="1"/>
  <c r="E5" i="1"/>
  <c r="E9" i="1"/>
  <c r="E10" i="1"/>
  <c r="E11" i="1"/>
  <c r="E2" i="1"/>
</calcChain>
</file>

<file path=xl/sharedStrings.xml><?xml version="1.0" encoding="utf-8"?>
<sst xmlns="http://schemas.openxmlformats.org/spreadsheetml/2006/main" count="37" uniqueCount="37">
  <si>
    <t>SKU ID</t>
  </si>
  <si>
    <t>Item Description</t>
  </si>
  <si>
    <t>Annual Demand (Units)</t>
  </si>
  <si>
    <t>Unit Cost ($)</t>
  </si>
  <si>
    <t>Annual Usage Value ($)</t>
  </si>
  <si>
    <t>Cumulative Value ($)</t>
  </si>
  <si>
    <t>Cumulative %</t>
  </si>
  <si>
    <t>ABC Class</t>
  </si>
  <si>
    <t>SKU-101</t>
  </si>
  <si>
    <t>Industrial Motor 5HP</t>
  </si>
  <si>
    <t>SKU-102</t>
  </si>
  <si>
    <t>Hydraulic Valve Assembly</t>
  </si>
  <si>
    <t>SKU-103</t>
  </si>
  <si>
    <t>Heavy Duty Roller Bearing</t>
  </si>
  <si>
    <t>SKU-104</t>
  </si>
  <si>
    <t>Precision Optical Sensor</t>
  </si>
  <si>
    <t>SKU-105</t>
  </si>
  <si>
    <t>Stainless Steel Shaft 50mm</t>
  </si>
  <si>
    <t>SKU-106</t>
  </si>
  <si>
    <t>Timing Belt 1200mm</t>
  </si>
  <si>
    <t>SKU-107</t>
  </si>
  <si>
    <t>Pneumatic Cylinder</t>
  </si>
  <si>
    <t>SKU-108</t>
  </si>
  <si>
    <t>Brass Bushing 25mm</t>
  </si>
  <si>
    <t>SKU-109</t>
  </si>
  <si>
    <t>Fastener Kit (M8/M10 Bolts)</t>
  </si>
  <si>
    <t>SKU-110</t>
  </si>
  <si>
    <t>Silicone Gasket Seal</t>
  </si>
  <si>
    <t>Category</t>
  </si>
  <si>
    <t>Item Count</t>
  </si>
  <si>
    <t>% of Total Items</t>
  </si>
  <si>
    <t>Total Value ($)</t>
  </si>
  <si>
    <t>% of Total Value</t>
  </si>
  <si>
    <t>Class A</t>
  </si>
  <si>
    <t>Class B</t>
  </si>
  <si>
    <t>Class 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</si>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</sst>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ABC Inventory Analysis (Pareto Chart)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Inventory_ABC!$E$1</c:f>
              <c:strCache>
                <c:ptCount val="1"/>
                <c:pt idx="0">
                  <c:v>Annual Usage Value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Inventory_ABC!$B$2:$B$11</c:f>
              <c:strCache>
                <c:ptCount val="10"/>
                <c:pt idx="0">
                  <c:v>Industrial Motor 5HP</c:v>
                </c:pt>
                <c:pt idx="1">
                  <c:v>Hydraulic Valve Assembly</c:v>
                </c:pt>
                <c:pt idx="2">
                  <c:v>Stainless Steel Shaft 50mm</c:v>
                </c:pt>
                <c:pt idx="3">
                  <c:v>Pneumatic Cylinder</c:v>
                </c:pt>
                <c:pt idx="4">
                  <c:v>Precision Optical Sensor</c:v>
                </c:pt>
                <c:pt idx="5">
                  <c:v>Heavy Duty Roller Bearing</c:v>
                </c:pt>
                <c:pt idx="6">
                  <c:v>Timing Belt 1200mm</c:v>
                </c:pt>
                <c:pt idx="7">
                  <c:v>Brass Bushing 25mm</c:v>
                </c:pt>
                <c:pt idx="8">
                  <c:v>Fastener Kit (M8/M10 Bolts)</c:v>
                </c:pt>
                <c:pt idx="9">
                  <c:v>Silicone Gasket Seal</c:v>
                </c:pt>
              </c:strCache>
            </c:strRef>
          </c:cat>
          <c:val>
            <c:numRef>
              <c:f>Inventory_ABC!$E$2:$E$11</c:f>
              <c:numCache>
                <c:formatCode>General</c:formatCode>
                <c:ptCount val="10"/>
                <c:pt idx="0">
                  <c:v>54000</c:v>
                </c:pt>
                <c:pt idx="1">
                  <c:v>50400</c:v>
                </c:pt>
                <c:pt idx="2">
                  <c:v>27000</c:v>
                </c:pt>
                <c:pt idx="3">
                  <c:v>26250</c:v>
                </c:pt>
                <c:pt idx="4">
                  <c:v>19200</c:v>
                </c:pt>
                <c:pt idx="5">
                  <c:v>15750</c:v>
                </c:pt>
                <c:pt idx="6">
                  <c:v>6800</c:v>
                </c:pt>
                <c:pt idx="7">
                  <c:v>5040</c:v>
                </c:pt>
                <c:pt idx="8">
                  <c:v>4250</c:v>
                </c:pt>
                <c:pt idx="9">
                  <c:v>3520.0000000000005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E-4B7D-9916-6BE2FBABE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1530112"/>
        <c:axId val="1216217088"/>
      </c:barChart>
      <c:lineChart>
        <c:grouping val="standard"/>
        <c:varyColors val="0"/>
        <c:ser>
          <c:idx val="1"/>
          <c:order val="1"/>
          <c:tx>
            <c:strRef>
              <c:f>Inventory_ABC!$G$1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Inventory_ABC!$B$2:$B$11</c:f>
              <c:strCache>
                <c:ptCount val="10"/>
                <c:pt idx="0">
                  <c:v>Industrial Motor 5HP</c:v>
                </c:pt>
                <c:pt idx="1">
                  <c:v>Hydraulic Valve Assembly</c:v>
                </c:pt>
                <c:pt idx="2">
                  <c:v>Stainless Steel Shaft 50mm</c:v>
                </c:pt>
                <c:pt idx="3">
                  <c:v>Pneumatic Cylinder</c:v>
                </c:pt>
                <c:pt idx="4">
                  <c:v>Precision Optical Sensor</c:v>
                </c:pt>
                <c:pt idx="5">
                  <c:v>Heavy Duty Roller Bearing</c:v>
                </c:pt>
                <c:pt idx="6">
                  <c:v>Timing Belt 1200mm</c:v>
                </c:pt>
                <c:pt idx="7">
                  <c:v>Brass Bushing 25mm</c:v>
                </c:pt>
                <c:pt idx="8">
                  <c:v>Fastener Kit (M8/M10 Bolts)</c:v>
                </c:pt>
                <c:pt idx="9">
                  <c:v>Silicone Gasket Seal</c:v>
                </c:pt>
              </c:strCache>
            </c:strRef>
          </c:cat>
          <c:val>
            <c:numRef>
              <c:f>Inventory_ABC!$G$2:$G$11</c:f>
              <c:numCache>
                <c:formatCode>0.00%</c:formatCode>
                <c:ptCount val="10"/>
                <c:pt idx="0">
                  <c:v>0.2544649168276707</c:v>
                </c:pt>
                <c:pt idx="1">
                  <c:v>0.49196550586683002</c:v>
                </c:pt>
                <c:pt idx="2">
                  <c:v>0.61919796428066542</c:v>
                </c:pt>
                <c:pt idx="3">
                  <c:v>0.74289618773856081</c:v>
                </c:pt>
                <c:pt idx="4">
                  <c:v>0.83337260261062152</c:v>
                </c:pt>
                <c:pt idx="5">
                  <c:v>0.90759153668535886</c:v>
                </c:pt>
                <c:pt idx="6">
                  <c:v>0.93963526695254695</c:v>
                </c:pt>
                <c:pt idx="7">
                  <c:v>0.96338532585646297</c:v>
                </c:pt>
                <c:pt idx="8">
                  <c:v>0.9834126572734555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2E-4B7D-9916-6BE2FBABE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1536144"/>
        <c:axId val="1216220448"/>
      </c:lineChart>
      <c:catAx>
        <c:axId val="146153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17088"/>
        <c:auto val="1"/>
        <c:lblAlgn val="ctr"/>
        <c:lblOffset val="100"/>
        <c:noMultiLvlLbl val="0"/>
      </c:catAx>
      <c:valAx>
        <c:axId val="121621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30112"/>
        <c:crossBetween val="between"/>
      </c:valAx>
      <c:valAx>
        <c:axId val="1216220448"/>
        <c:scaling>
          <c:orientation val="minMax"/>
          <c:max val="1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36144"/>
        <c:crosses val="max"/>
        <c:crossBetween val="between"/>
      </c:valAx>
      <c:catAx>
        <c:axId val="1461536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62204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604837</xdr:colOff>
      <xdr:row>6</xdr:row>
      <xdr:rowOff>4762</xdr:rowOff>
    </xdr:from>
    <xdr:to>
      <xdr:col>17</xdr:col>
      <xdr:colOff>9525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2CCF1-FEDA-D188-C469-7FE58B31D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G16" sqref="G16"/>
    </sheetView>
  </sheetViews>
  <sheetFormatPr defaultRowHeight="15" x14ac:dyDescent="0.25"/>
  <cols>
    <col min="2" max="2" width="25.28515625" customWidth="1"/>
    <col min="3" max="3" width="23.28515625" customWidth="1"/>
    <col min="4" max="4" width="13.7109375" customWidth="1"/>
    <col min="5" max="5" width="22.7109375" customWidth="1"/>
    <col min="6" max="6" width="21.28515625" customWidth="1"/>
    <col min="7" max="7" width="13.42578125" customWidth="1"/>
    <col min="11" max="11" width="11.7109375" customWidth="1"/>
    <col min="12" max="12" width="15.5703125" customWidth="1"/>
    <col min="13" max="13" width="13.5703125" customWidth="1"/>
    <col min="14" max="14" width="1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 x14ac:dyDescent="0.25">
      <c r="A2" t="s">
        <v>8</v>
      </c>
      <c r="B2" t="s">
        <v>9</v>
      </c>
      <c r="C2" s="1">
        <v>120</v>
      </c>
      <c r="D2" s="2">
        <v>450</v>
      </c>
      <c r="E2" s="1">
        <f>C2*D2</f>
        <v>54000</v>
      </c>
      <c r="F2" s="1">
        <f>E2</f>
        <v>54000</v>
      </c>
      <c r="G2" s="3">
        <f>F2/E$12</f>
        <v>0.2544649168276707</v>
      </c>
      <c r="H2" s="1" t="str">
        <f>IF(G2&lt;=0.75, "Class A", IF(G2&lt;=0.95, "Class B", "Class C"))</f>
        <v>Class A</v>
      </c>
      <c r="J2" s="1" t="s">
        <v>33</v>
      </c>
      <c r="K2" s="1">
        <f>COUNTIF($H$2:$H$11, J2)</f>
        <v>4</v>
      </c>
      <c r="L2" s="3">
        <f>K2/$K$5</f>
        <v>0.4</v>
      </c>
      <c r="M2" s="1">
        <f>SUMIF($H$2:$H$11, J2, $E$2:$E$11)</f>
        <v>157650</v>
      </c>
      <c r="N2" s="3">
        <f>M2/$M$5</f>
        <v>0.74289618773856081</v>
      </c>
    </row>
    <row r="3" spans="1:14" x14ac:dyDescent="0.25">
      <c r="A3" t="s">
        <v>10</v>
      </c>
      <c r="B3" t="s">
        <v>11</v>
      </c>
      <c r="C3" s="1">
        <v>280</v>
      </c>
      <c r="D3" s="2">
        <v>180</v>
      </c>
      <c r="E3" s="1">
        <f>C3*D3</f>
        <v>50400</v>
      </c>
      <c r="F3" s="1">
        <f>F2+E3</f>
        <v>104400</v>
      </c>
      <c r="G3" s="3">
        <f t="shared" ref="G3:G11" si="0">F3/E$12</f>
        <v>0.49196550586683002</v>
      </c>
      <c r="H3" s="1" t="str">
        <f t="shared" ref="H3:H11" si="1">IF(G3&lt;=0.75, "Class A", IF(G3&lt;=0.95, "Class B", "Class C"))</f>
        <v>Class A</v>
      </c>
      <c r="J3" s="1" t="s">
        <v>34</v>
      </c>
      <c r="K3" s="1">
        <f t="shared" ref="K3:K4" si="2">COUNTIF($H$2:$H$11, J3)</f>
        <v>3</v>
      </c>
      <c r="L3" s="3">
        <f t="shared" ref="L3:L4" si="3">K3/$K$5</f>
        <v>0.3</v>
      </c>
      <c r="M3" s="1">
        <f t="shared" ref="M3:M4" si="4">SUMIF($H$2:$H$11, J3, $E$2:$E$11)</f>
        <v>41750</v>
      </c>
      <c r="N3" s="3">
        <f t="shared" ref="N3:N4" si="5">M3/$M$5</f>
        <v>0.19673907921398615</v>
      </c>
    </row>
    <row r="4" spans="1:14" x14ac:dyDescent="0.25">
      <c r="A4" t="s">
        <v>16</v>
      </c>
      <c r="B4" t="s">
        <v>17</v>
      </c>
      <c r="C4" s="1">
        <v>1500</v>
      </c>
      <c r="D4" s="2">
        <v>18</v>
      </c>
      <c r="E4" s="1">
        <f>C4*D4</f>
        <v>27000</v>
      </c>
      <c r="F4" s="1">
        <f t="shared" ref="F4:F11" si="6">F3+E4</f>
        <v>131400</v>
      </c>
      <c r="G4" s="3">
        <f t="shared" si="0"/>
        <v>0.61919796428066542</v>
      </c>
      <c r="H4" s="1" t="str">
        <f t="shared" si="1"/>
        <v>Class A</v>
      </c>
      <c r="J4" s="1" t="s">
        <v>35</v>
      </c>
      <c r="K4" s="1">
        <f t="shared" si="2"/>
        <v>3</v>
      </c>
      <c r="L4" s="3">
        <f t="shared" si="3"/>
        <v>0.3</v>
      </c>
      <c r="M4" s="1">
        <f t="shared" si="4"/>
        <v>12810</v>
      </c>
      <c r="N4" s="3">
        <f t="shared" si="5"/>
        <v>6.0364733047452997E-2</v>
      </c>
    </row>
    <row r="5" spans="1:14" x14ac:dyDescent="0.25">
      <c r="A5" t="s">
        <v>20</v>
      </c>
      <c r="B5" t="s">
        <v>21</v>
      </c>
      <c r="C5" s="1">
        <v>210</v>
      </c>
      <c r="D5" s="2">
        <v>125</v>
      </c>
      <c r="E5" s="1">
        <f>C5*D5</f>
        <v>26250</v>
      </c>
      <c r="F5" s="1">
        <f t="shared" si="6"/>
        <v>157650</v>
      </c>
      <c r="G5" s="3">
        <f t="shared" si="0"/>
        <v>0.74289618773856081</v>
      </c>
      <c r="H5" s="1" t="str">
        <f t="shared" si="1"/>
        <v>Class A</v>
      </c>
      <c r="J5" s="1" t="s">
        <v>36</v>
      </c>
      <c r="K5" s="1">
        <f>SUM(K2:K4)</f>
        <v>10</v>
      </c>
      <c r="L5" s="3">
        <f>SUM(L2:L4)</f>
        <v>1</v>
      </c>
      <c r="M5" s="1">
        <f>SUM(M2:M4)</f>
        <v>212210</v>
      </c>
      <c r="N5" s="3">
        <f>SUM(N2:N4)</f>
        <v>1</v>
      </c>
    </row>
    <row r="6" spans="1:14" x14ac:dyDescent="0.25">
      <c r="A6" t="s">
        <v>14</v>
      </c>
      <c r="B6" t="s">
        <v>15</v>
      </c>
      <c r="C6" s="1">
        <v>60</v>
      </c>
      <c r="D6" s="2">
        <v>320</v>
      </c>
      <c r="E6" s="1">
        <f>C6*D6</f>
        <v>19200</v>
      </c>
      <c r="F6" s="1">
        <f t="shared" si="6"/>
        <v>176850</v>
      </c>
      <c r="G6" s="3">
        <f t="shared" si="0"/>
        <v>0.83337260261062152</v>
      </c>
      <c r="H6" s="1" t="str">
        <f t="shared" si="1"/>
        <v>Class B</v>
      </c>
    </row>
    <row r="7" spans="1:14" x14ac:dyDescent="0.25">
      <c r="A7" t="s">
        <v>12</v>
      </c>
      <c r="B7" t="s">
        <v>13</v>
      </c>
      <c r="C7" s="1">
        <v>450</v>
      </c>
      <c r="D7" s="2">
        <v>35</v>
      </c>
      <c r="E7" s="1">
        <f>C7*D7</f>
        <v>15750</v>
      </c>
      <c r="F7" s="1">
        <f t="shared" si="6"/>
        <v>192600</v>
      </c>
      <c r="G7" s="3">
        <f t="shared" si="0"/>
        <v>0.90759153668535886</v>
      </c>
      <c r="H7" s="1" t="str">
        <f t="shared" si="1"/>
        <v>Class B</v>
      </c>
    </row>
    <row r="8" spans="1:14" x14ac:dyDescent="0.25">
      <c r="A8" t="s">
        <v>18</v>
      </c>
      <c r="B8" t="s">
        <v>19</v>
      </c>
      <c r="C8" s="1">
        <v>800</v>
      </c>
      <c r="D8" s="2">
        <v>8.5</v>
      </c>
      <c r="E8" s="1">
        <f>C8*D8</f>
        <v>6800</v>
      </c>
      <c r="F8" s="1">
        <f t="shared" si="6"/>
        <v>199400</v>
      </c>
      <c r="G8" s="3">
        <f t="shared" si="0"/>
        <v>0.93963526695254695</v>
      </c>
      <c r="H8" s="1" t="str">
        <f t="shared" si="1"/>
        <v>Class B</v>
      </c>
    </row>
    <row r="9" spans="1:14" x14ac:dyDescent="0.25">
      <c r="A9" t="s">
        <v>22</v>
      </c>
      <c r="B9" t="s">
        <v>23</v>
      </c>
      <c r="C9" s="1">
        <v>1200</v>
      </c>
      <c r="D9" s="2">
        <v>4.2</v>
      </c>
      <c r="E9" s="1">
        <f>C9*D9</f>
        <v>5040</v>
      </c>
      <c r="F9" s="1">
        <f t="shared" si="6"/>
        <v>204440</v>
      </c>
      <c r="G9" s="3">
        <f t="shared" si="0"/>
        <v>0.96338532585646297</v>
      </c>
      <c r="H9" s="1" t="str">
        <f t="shared" si="1"/>
        <v>Class C</v>
      </c>
    </row>
    <row r="10" spans="1:14" x14ac:dyDescent="0.25">
      <c r="A10" t="s">
        <v>24</v>
      </c>
      <c r="B10" t="s">
        <v>25</v>
      </c>
      <c r="C10" s="1">
        <v>5000</v>
      </c>
      <c r="D10" s="2">
        <v>0.85</v>
      </c>
      <c r="E10" s="1">
        <f>C10*D10</f>
        <v>4250</v>
      </c>
      <c r="F10" s="1">
        <f t="shared" si="6"/>
        <v>208690</v>
      </c>
      <c r="G10" s="3">
        <f t="shared" si="0"/>
        <v>0.9834126572734555</v>
      </c>
      <c r="H10" s="1" t="str">
        <f t="shared" si="1"/>
        <v>Class C</v>
      </c>
    </row>
    <row r="11" spans="1:14" x14ac:dyDescent="0.25">
      <c r="A11" t="s">
        <v>26</v>
      </c>
      <c r="B11" t="s">
        <v>27</v>
      </c>
      <c r="C11" s="1">
        <v>3200</v>
      </c>
      <c r="D11" s="2">
        <v>1.1000000000000001</v>
      </c>
      <c r="E11" s="1">
        <f>C11*D11</f>
        <v>3520.0000000000005</v>
      </c>
      <c r="F11" s="1">
        <f t="shared" si="6"/>
        <v>212210</v>
      </c>
      <c r="G11" s="3">
        <f t="shared" si="0"/>
        <v>1</v>
      </c>
      <c r="H11" s="1" t="str">
        <f t="shared" si="1"/>
        <v>Class C</v>
      </c>
    </row>
    <row r="12" spans="1:14" x14ac:dyDescent="0.25">
      <c r="C12" s="1"/>
      <c r="D12" s="4"/>
      <c r="E12" s="1">
        <f>SUM(E2:E11)</f>
        <v>212210</v>
      </c>
      <c r="F12" s="1"/>
      <c r="G12" s="1"/>
    </row>
  </sheetData>
  <sortState xmlns:xlrd2="http://schemas.microsoft.com/office/spreadsheetml/2017/richdata2" ref="A2:E11">
    <sortCondition descending="1" ref="E2:E11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KASRA</dc:creator>
  <cp:lastModifiedBy>KASRA</cp:lastModifiedBy>
  <dcterms:created xsi:type="dcterms:W3CDTF">2015-06-05T18:17:20Z</dcterms:created>
  <dcterms:modified xsi:type="dcterms:W3CDTF">2026-09-25T22:48:55Z</dcterms:modified>
</cp:coreProperties>
</file>